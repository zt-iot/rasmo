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/Documents/NII-WORK/Publications/FY2026/IEEE Access/"/>
    </mc:Choice>
  </mc:AlternateContent>
  <xr:revisionPtr revIDLastSave="0" documentId="13_ncr:1_{B2ADCC61-163B-CF4E-ADC6-C9EF6B5EC706}" xr6:coauthVersionLast="47" xr6:coauthVersionMax="47" xr10:uidLastSave="{00000000-0000-0000-0000-000000000000}"/>
  <bookViews>
    <workbookView xWindow="58220" yWindow="-9480" windowWidth="21780" windowHeight="28800" xr2:uid="{C864DC53-D2E3-964B-A757-165477C8F8B9}"/>
  </bookViews>
  <sheets>
    <sheet name="Overhe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1" l="1"/>
  <c r="J17" i="1"/>
  <c r="H17" i="1"/>
  <c r="D17" i="1"/>
  <c r="E17" i="1"/>
  <c r="C17" i="1"/>
  <c r="I10" i="1"/>
  <c r="J10" i="1"/>
  <c r="H10" i="1"/>
  <c r="E10" i="1"/>
  <c r="D10" i="1"/>
  <c r="C10" i="1"/>
  <c r="I16" i="1"/>
  <c r="J16" i="1"/>
  <c r="H16" i="1"/>
  <c r="I9" i="1"/>
  <c r="J9" i="1"/>
  <c r="H9" i="1"/>
  <c r="D16" i="1"/>
  <c r="E16" i="1"/>
  <c r="C16" i="1"/>
  <c r="D9" i="1"/>
  <c r="E9" i="1"/>
  <c r="C9" i="1"/>
</calcChain>
</file>

<file path=xl/sharedStrings.xml><?xml version="1.0" encoding="utf-8"?>
<sst xmlns="http://schemas.openxmlformats.org/spreadsheetml/2006/main" count="35" uniqueCount="16">
  <si>
    <t>Run 1</t>
  </si>
  <si>
    <t xml:space="preserve"> </t>
  </si>
  <si>
    <t>Run 2</t>
  </si>
  <si>
    <t>Run 3</t>
  </si>
  <si>
    <t>FPS-ORG</t>
  </si>
  <si>
    <t>AVG</t>
  </si>
  <si>
    <t>TIME-ORG</t>
  </si>
  <si>
    <t>FPS-RASMO</t>
  </si>
  <si>
    <t>TIME-RASMO</t>
  </si>
  <si>
    <t>FPS</t>
  </si>
  <si>
    <t>ORG</t>
  </si>
  <si>
    <t>RASMO</t>
  </si>
  <si>
    <t>TIME</t>
  </si>
  <si>
    <t>50 tries/s</t>
  </si>
  <si>
    <t>100 tries/s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</si>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</sst>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6" xfId="0" applyFont="1" applyBorder="1"/>
    <xf numFmtId="164" fontId="0" fillId="0" borderId="0" xfId="0" applyNumberFormat="1"/>
    <xf numFmtId="164" fontId="0" fillId="0" borderId="7" xfId="0" applyNumberFormat="1" applyBorder="1"/>
    <xf numFmtId="164" fontId="0" fillId="0" borderId="5" xfId="0" applyNumberFormat="1" applyBorder="1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2" fontId="0" fillId="0" borderId="0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D2D7-4732-894D-936F-A93385EB0AB1}">
  <dimension ref="A5:P28"/>
  <sheetViews>
    <sheetView tabSelected="1" topLeftCell="B1" workbookViewId="0">
      <selection activeCell="G20" sqref="G20"/>
    </sheetView>
  </sheetViews>
  <sheetFormatPr baseColWidth="10" defaultRowHeight="16" x14ac:dyDescent="0.2"/>
  <cols>
    <col min="2" max="2" width="12.6640625" customWidth="1"/>
    <col min="3" max="3" width="13.6640625" customWidth="1"/>
    <col min="4" max="4" width="11.6640625" customWidth="1"/>
    <col min="5" max="5" width="12.6640625" customWidth="1"/>
    <col min="7" max="7" width="14.33203125" customWidth="1"/>
    <col min="14" max="14" width="16.1640625" customWidth="1"/>
    <col min="15" max="15" width="13.1640625" customWidth="1"/>
    <col min="16" max="16" width="15.1640625" customWidth="1"/>
    <col min="17" max="17" width="20.5" customWidth="1"/>
  </cols>
  <sheetData>
    <row r="5" spans="1:16" x14ac:dyDescent="0.2">
      <c r="B5" s="10" t="s">
        <v>4</v>
      </c>
      <c r="C5" s="10">
        <v>0</v>
      </c>
      <c r="D5" s="10">
        <v>3</v>
      </c>
      <c r="E5" s="10">
        <v>6</v>
      </c>
      <c r="G5" s="10" t="s">
        <v>6</v>
      </c>
      <c r="H5" s="10">
        <v>0</v>
      </c>
      <c r="I5" s="10">
        <v>3</v>
      </c>
      <c r="J5" s="10">
        <v>6</v>
      </c>
      <c r="N5" s="2"/>
    </row>
    <row r="6" spans="1:16" x14ac:dyDescent="0.2">
      <c r="B6" s="11" t="s">
        <v>0</v>
      </c>
      <c r="C6" s="13">
        <v>60.05</v>
      </c>
      <c r="D6" s="13">
        <v>60.07</v>
      </c>
      <c r="E6" s="13">
        <v>60.06</v>
      </c>
      <c r="G6" s="11" t="s">
        <v>0</v>
      </c>
      <c r="H6" s="13">
        <v>117.001415582999</v>
      </c>
      <c r="I6" s="13">
        <v>117.088311166</v>
      </c>
      <c r="J6" s="13">
        <v>116.23718995799899</v>
      </c>
      <c r="P6" s="2"/>
    </row>
    <row r="7" spans="1:16" x14ac:dyDescent="0.2">
      <c r="A7" t="s">
        <v>1</v>
      </c>
      <c r="B7" s="11" t="s">
        <v>2</v>
      </c>
      <c r="C7" s="13">
        <v>60.06</v>
      </c>
      <c r="D7" s="13">
        <v>60.05</v>
      </c>
      <c r="E7" s="13">
        <v>60.05</v>
      </c>
      <c r="G7" s="11" t="s">
        <v>2</v>
      </c>
      <c r="H7" s="13">
        <v>116.346478874998</v>
      </c>
      <c r="I7" s="13">
        <v>116.362062249998</v>
      </c>
      <c r="J7" s="13">
        <v>116.356401875</v>
      </c>
      <c r="O7" s="2"/>
    </row>
    <row r="8" spans="1:16" x14ac:dyDescent="0.2">
      <c r="B8" s="11" t="s">
        <v>3</v>
      </c>
      <c r="C8" s="13">
        <v>60.03</v>
      </c>
      <c r="D8" s="13">
        <v>60.04</v>
      </c>
      <c r="E8" s="13">
        <v>60.06</v>
      </c>
      <c r="G8" s="11" t="s">
        <v>3</v>
      </c>
      <c r="H8" s="13">
        <v>116.067737583001</v>
      </c>
      <c r="I8" s="13">
        <v>116.149041207998</v>
      </c>
      <c r="J8" s="13">
        <v>116.143028833001</v>
      </c>
      <c r="O8" s="2"/>
    </row>
    <row r="9" spans="1:16" x14ac:dyDescent="0.2">
      <c r="B9" s="11" t="s">
        <v>5</v>
      </c>
      <c r="C9" s="13">
        <f>AVERAGE(C6:C8)</f>
        <v>60.04666666666666</v>
      </c>
      <c r="D9" s="13">
        <f t="shared" ref="D9:E9" si="0">AVERAGE(D6:D8)</f>
        <v>60.053333333333335</v>
      </c>
      <c r="E9" s="13">
        <f t="shared" si="0"/>
        <v>60.056666666666672</v>
      </c>
      <c r="G9" s="11" t="s">
        <v>5</v>
      </c>
      <c r="H9" s="13">
        <f>AVERAGE(H6:H8)</f>
        <v>116.47187734699934</v>
      </c>
      <c r="I9" s="13">
        <f t="shared" ref="I9:J9" si="1">AVERAGE(I6:I8)</f>
        <v>116.53313820799866</v>
      </c>
      <c r="J9" s="13">
        <f t="shared" si="1"/>
        <v>116.24554022199999</v>
      </c>
      <c r="P9" s="2"/>
    </row>
    <row r="10" spans="1:16" x14ac:dyDescent="0.2">
      <c r="B10" s="12" t="s">
        <v>15</v>
      </c>
      <c r="C10" s="11">
        <f>_xlfn.STDEV.S(C6:C8)</f>
        <v>1.5275252316519529E-2</v>
      </c>
      <c r="D10" s="11">
        <f t="shared" ref="D10:E10" si="2">_xlfn.STDEV.S(D6:D8)</f>
        <v>1.5275252316520303E-2</v>
      </c>
      <c r="E10" s="11">
        <f t="shared" si="2"/>
        <v>5.7735026918992113E-3</v>
      </c>
      <c r="G10" s="12" t="s">
        <v>15</v>
      </c>
      <c r="H10" s="11">
        <f>_xlfn.STDEV.S(H6:H8)</f>
        <v>0.47930390620697766</v>
      </c>
      <c r="I10" s="11">
        <f t="shared" ref="I10:J10" si="3">_xlfn.STDEV.S(I6:I8)</f>
        <v>0.49245025236632084</v>
      </c>
      <c r="J10" s="11">
        <f t="shared" si="3"/>
        <v>0.10693132817206676</v>
      </c>
    </row>
    <row r="12" spans="1:16" x14ac:dyDescent="0.2">
      <c r="B12" s="10" t="s">
        <v>7</v>
      </c>
      <c r="C12" s="10">
        <v>0</v>
      </c>
      <c r="D12" s="10">
        <v>3</v>
      </c>
      <c r="E12" s="10">
        <v>6</v>
      </c>
      <c r="G12" s="10" t="s">
        <v>8</v>
      </c>
      <c r="H12" s="10">
        <v>0</v>
      </c>
      <c r="I12" s="10">
        <v>3</v>
      </c>
      <c r="J12" s="10">
        <v>6</v>
      </c>
    </row>
    <row r="13" spans="1:16" x14ac:dyDescent="0.2">
      <c r="B13" s="11" t="s">
        <v>0</v>
      </c>
      <c r="C13" s="13">
        <v>60.07</v>
      </c>
      <c r="D13" s="13">
        <v>60.07</v>
      </c>
      <c r="E13" s="13">
        <v>60.07</v>
      </c>
      <c r="G13" s="11" t="s">
        <v>0</v>
      </c>
      <c r="H13" s="13">
        <v>116.423805457998</v>
      </c>
      <c r="I13" s="13">
        <v>116.094466708997</v>
      </c>
      <c r="J13" s="13">
        <v>117.533358749999</v>
      </c>
    </row>
    <row r="14" spans="1:16" x14ac:dyDescent="0.2">
      <c r="B14" s="11" t="s">
        <v>2</v>
      </c>
      <c r="C14" s="13">
        <v>60.07</v>
      </c>
      <c r="D14" s="13">
        <v>60.06</v>
      </c>
      <c r="E14" s="13">
        <v>60.05</v>
      </c>
      <c r="G14" s="11" t="s">
        <v>2</v>
      </c>
      <c r="H14" s="13">
        <v>116.416202374999</v>
      </c>
      <c r="I14" s="13">
        <v>116.154020042002</v>
      </c>
      <c r="J14" s="13">
        <v>117.494265167002</v>
      </c>
    </row>
    <row r="15" spans="1:16" x14ac:dyDescent="0.2">
      <c r="B15" s="11" t="s">
        <v>3</v>
      </c>
      <c r="C15" s="13">
        <v>60.02</v>
      </c>
      <c r="D15" s="13">
        <v>60.07</v>
      </c>
      <c r="E15" s="13">
        <v>60.03</v>
      </c>
      <c r="G15" s="11" t="s">
        <v>3</v>
      </c>
      <c r="H15" s="13">
        <v>117.000196</v>
      </c>
      <c r="I15" s="13">
        <v>116.20593983300201</v>
      </c>
      <c r="J15" s="13">
        <v>117.365002667</v>
      </c>
    </row>
    <row r="16" spans="1:16" x14ac:dyDescent="0.2">
      <c r="B16" s="11" t="s">
        <v>5</v>
      </c>
      <c r="C16" s="13">
        <f>AVERAGE(C13:C15)</f>
        <v>60.053333333333335</v>
      </c>
      <c r="D16" s="13">
        <f t="shared" ref="D16:E16" si="4">AVERAGE(D13:D15)</f>
        <v>60.066666666666663</v>
      </c>
      <c r="E16" s="13">
        <f t="shared" si="4"/>
        <v>60.050000000000004</v>
      </c>
      <c r="G16" s="11" t="s">
        <v>5</v>
      </c>
      <c r="H16" s="13">
        <f>AVERAGE(H13:H15)</f>
        <v>116.61340127766567</v>
      </c>
      <c r="I16" s="13">
        <f t="shared" ref="I16:J16" si="5">AVERAGE(I13:I15)</f>
        <v>116.15147552800033</v>
      </c>
      <c r="J16" s="13">
        <f t="shared" si="5"/>
        <v>117.46420886133366</v>
      </c>
    </row>
    <row r="17" spans="2:10" x14ac:dyDescent="0.2">
      <c r="B17" s="12" t="s">
        <v>15</v>
      </c>
      <c r="C17" s="11">
        <f>_xlfn.STDEV.S(C13:C15)</f>
        <v>2.8867513459479646E-2</v>
      </c>
      <c r="D17" s="11">
        <f t="shared" ref="D17:E17" si="6">_xlfn.STDEV.S(D13:D15)</f>
        <v>5.7735026918951087E-3</v>
      </c>
      <c r="E17" s="13">
        <f t="shared" si="6"/>
        <v>1.9999999999999574E-2</v>
      </c>
      <c r="G17" s="12" t="s">
        <v>15</v>
      </c>
      <c r="H17" s="11">
        <f>_xlfn.STDEV.S(H13:H15)</f>
        <v>0.33499562629539414</v>
      </c>
      <c r="I17" s="11">
        <f t="shared" ref="I17:J17" si="7">_xlfn.STDEV.S(I13:I15)</f>
        <v>5.5780106287879549E-2</v>
      </c>
      <c r="J17" s="11">
        <f t="shared" si="7"/>
        <v>8.8110605510985748E-2</v>
      </c>
    </row>
    <row r="20" spans="2:10" ht="17" thickBot="1" x14ac:dyDescent="0.25"/>
    <row r="21" spans="2:10" x14ac:dyDescent="0.2">
      <c r="C21" s="1" t="s">
        <v>9</v>
      </c>
      <c r="D21" s="3">
        <v>0</v>
      </c>
      <c r="E21" s="3" t="s">
        <v>13</v>
      </c>
      <c r="F21" s="4" t="s">
        <v>14</v>
      </c>
    </row>
    <row r="22" spans="2:10" x14ac:dyDescent="0.2">
      <c r="C22" s="5" t="s">
        <v>10</v>
      </c>
      <c r="D22" s="7">
        <v>60.04666666666666</v>
      </c>
      <c r="E22" s="7">
        <v>60.053333333333335</v>
      </c>
      <c r="F22" s="9">
        <v>60.056666666666672</v>
      </c>
    </row>
    <row r="23" spans="2:10" ht="17" thickBot="1" x14ac:dyDescent="0.25">
      <c r="C23" s="6" t="s">
        <v>11</v>
      </c>
      <c r="D23" s="8">
        <v>60.053333333333335</v>
      </c>
      <c r="E23" s="8">
        <v>60.066666666666663</v>
      </c>
      <c r="F23" s="14">
        <v>60.050000000000004</v>
      </c>
    </row>
    <row r="25" spans="2:10" ht="17" thickBot="1" x14ac:dyDescent="0.25"/>
    <row r="26" spans="2:10" x14ac:dyDescent="0.2">
      <c r="C26" s="1" t="s">
        <v>12</v>
      </c>
      <c r="D26" s="3">
        <v>0</v>
      </c>
      <c r="E26" s="3" t="s">
        <v>13</v>
      </c>
      <c r="F26" s="4" t="s">
        <v>14</v>
      </c>
    </row>
    <row r="27" spans="2:10" x14ac:dyDescent="0.2">
      <c r="C27" s="5" t="s">
        <v>10</v>
      </c>
      <c r="D27" s="7">
        <v>116.47187734699934</v>
      </c>
      <c r="E27" s="7">
        <v>116.53313820799866</v>
      </c>
      <c r="F27" s="9">
        <v>116.24554022199999</v>
      </c>
    </row>
    <row r="28" spans="2:10" ht="17" thickBot="1" x14ac:dyDescent="0.25">
      <c r="C28" s="6" t="s">
        <v>11</v>
      </c>
      <c r="D28" s="8">
        <v>116.61340127766567</v>
      </c>
      <c r="E28" s="8">
        <v>116.15147552800033</v>
      </c>
      <c r="F28" s="14">
        <v>117.46420886133366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　Jie</dc:creator>
  <cp:lastModifiedBy>Yin　Jie</cp:lastModifiedBy>
  <dcterms:created xsi:type="dcterms:W3CDTF">2026-09-02T03:02:51Z</dcterms:created>
  <dcterms:modified xsi:type="dcterms:W3CDTF">2026-10-01T04:36:03Z</dcterms:modified>
</cp:coreProperties>
</file>